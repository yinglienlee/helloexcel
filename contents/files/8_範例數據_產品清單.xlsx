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93952059-1EA1-47B8-8539-B3FAC7576BED}" xr6:coauthVersionLast="47" xr6:coauthVersionMax="47" xr10:uidLastSave="{00000000-0000-0000-0000-000000000000}"/>
  <bookViews>
    <workbookView xWindow="13920" yWindow="2565" windowWidth="14790" windowHeight="11880" tabRatio="500" xr2:uid="{00000000-000D-0000-FFFF-FFFF00000000}"/>
  </bookViews>
  <sheets>
    <sheet name="產品庫存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1" l="1"/>
  <c r="F10" i="1"/>
  <c r="D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<sst xmlns="http://schemas.openxmlformats.org/spreadsheetml/2006/main" count="32" uniqueCount="28">
  <si>
    <t>產品代碼</t>
  </si>
  <si>
    <t>產品名稱</t>
  </si>
  <si>
    <t>單價</t>
  </si>
  <si>
    <t>庫存</t>
  </si>
  <si>
    <t>供應商</t>
  </si>
  <si>
    <t>庫存金額</t>
  </si>
  <si>
    <t>庫存狀態</t>
  </si>
  <si>
    <t>P001</t>
  </si>
  <si>
    <t>無線鍵盤</t>
  </si>
  <si>
    <r>
      <rPr>
        <b/>
        <sz val="10"/>
        <rFont val="Arial"/>
        <family val="2"/>
      </rPr>
      <t>A</t>
    </r>
    <r>
      <rPr>
        <b/>
        <sz val="10"/>
        <rFont val="Noto Sans CJK SC"/>
        <family val="2"/>
      </rPr>
      <t>公司</t>
    </r>
  </si>
  <si>
    <t>P002</t>
  </si>
  <si>
    <t>有線滑鼠</t>
  </si>
  <si>
    <r>
      <rPr>
        <b/>
        <sz val="10"/>
        <rFont val="Arial"/>
        <family val="2"/>
      </rPr>
      <t>B</t>
    </r>
    <r>
      <rPr>
        <b/>
        <sz val="10"/>
        <rFont val="Noto Sans CJK SC"/>
        <family val="2"/>
      </rPr>
      <t>公司</t>
    </r>
  </si>
  <si>
    <t>P003</t>
  </si>
  <si>
    <r>
      <rPr>
        <b/>
        <sz val="10"/>
        <rFont val="Arial"/>
        <family val="2"/>
      </rPr>
      <t>USB</t>
    </r>
    <r>
      <rPr>
        <b/>
        <sz val="10"/>
        <rFont val="Noto Sans CJK SC"/>
        <family val="2"/>
      </rPr>
      <t>集線器</t>
    </r>
  </si>
  <si>
    <t>P004</t>
  </si>
  <si>
    <t>網路攝影機</t>
  </si>
  <si>
    <r>
      <rPr>
        <b/>
        <sz val="10"/>
        <rFont val="Arial"/>
        <family val="2"/>
      </rPr>
      <t>C</t>
    </r>
    <r>
      <rPr>
        <b/>
        <sz val="10"/>
        <rFont val="Noto Sans CJK SC"/>
        <family val="2"/>
      </rPr>
      <t>公司</t>
    </r>
  </si>
  <si>
    <t>P005</t>
  </si>
  <si>
    <t>耳機麥克風</t>
  </si>
  <si>
    <t>P006</t>
  </si>
  <si>
    <t>螢幕支架</t>
  </si>
  <si>
    <r>
      <rPr>
        <b/>
        <sz val="10"/>
        <rFont val="Arial"/>
        <family val="2"/>
      </rPr>
      <t>D</t>
    </r>
    <r>
      <rPr>
        <b/>
        <sz val="10"/>
        <rFont val="Noto Sans CJK SC"/>
        <family val="2"/>
      </rPr>
      <t>公司</t>
    </r>
  </si>
  <si>
    <t>P007</t>
  </si>
  <si>
    <t>電腦包</t>
  </si>
  <si>
    <t>P008</t>
  </si>
  <si>
    <t>散熱風扇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</si>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</sst>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0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0"/>
      <color rgb="FF1A3A5C"/>
      <name val="Arial"/>
      <family val="2"/>
    </font>
    <font>
      <b/>
      <sz val="10"/>
      <name val="Noto Sans CJK SC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Noto Sans CJK SC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EBF3FC"/>
        <bgColor rgb="FFF9F9F9"/>
      </patternFill>
    </fill>
    <fill>
      <patternFill patternType="solid">
        <fgColor rgb="FFD5E8FF"/>
        <bgColor rgb="FFC8DCF0"/>
      </patternFill>
    </fill>
    <fill>
      <patternFill patternType="solid">
        <fgColor rgb="FFFFFFFF"/>
        <bgColor rgb="FFF9F9F9"/>
      </patternFill>
    </fill>
    <fill>
      <patternFill patternType="solid">
        <fgColor rgb="FFD5F5E3"/>
        <bgColor rgb="FFC6EFCE"/>
      </patternFill>
    </fill>
    <fill>
      <patternFill patternType="solid">
        <fgColor rgb="FFFFF3CD"/>
        <bgColor rgb="FFFFF8DC"/>
      </patternFill>
    </fill>
    <fill>
      <patternFill patternType="solid">
        <fgColor rgb="FFF5D5FF"/>
        <bgColor rgb="FFFFE4E4"/>
      </patternFill>
    </fill>
    <fill>
      <patternFill patternType="solid">
        <fgColor rgb="FFC8DCF0"/>
        <bgColor rgb="FFD9D9D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F8DC"/>
        </patternFill>
      </fill>
    </dxf>
    <dxf>
      <fill>
        <patternFill>
          <bgColor rgb="FFFF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0BEC5"/>
      <rgbColor rgb="FF878787"/>
      <rgbColor rgb="FFC6EFCE"/>
      <rgbColor rgb="FF993366"/>
      <rgbColor rgb="FFFFF8DC"/>
      <rgbColor rgb="FFD5E8FF"/>
      <rgbColor rgb="FF660066"/>
      <rgbColor rgb="FFFF8080"/>
      <rgbColor rgb="FF0066CC"/>
      <rgbColor rgb="FFC8DCF0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EBF3FC"/>
      <rgbColor rgb="FFD5F5E3"/>
      <rgbColor rgb="FFFFEB9C"/>
      <rgbColor rgb="FFD9D9D9"/>
      <rgbColor rgb="FFF5D5FF"/>
      <rgbColor rgb="FFFFE4E4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產品庫存金額分佈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產品庫存!$F$1</c:f>
              <c:strCache>
                <c:ptCount val="1"/>
                <c:pt idx="0">
                  <c:v>庫存金額</c:v>
                </c:pt>
              </c:strCache>
            </c:strRef>
          </c:tx>
          <c:spPr>
            <a:solidFill>
              <a:srgbClr val="1A3A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產品庫存!$B$2:$B$9</c:f>
              <c:strCache>
                <c:ptCount val="8"/>
                <c:pt idx="0">
                  <c:v>無線鍵盤</c:v>
                </c:pt>
                <c:pt idx="1">
                  <c:v>有線滑鼠</c:v>
                </c:pt>
                <c:pt idx="2">
                  <c:v>USB集線器</c:v>
                </c:pt>
                <c:pt idx="3">
                  <c:v>網路攝影機</c:v>
                </c:pt>
                <c:pt idx="4">
                  <c:v>耳機麥克風</c:v>
                </c:pt>
                <c:pt idx="5">
                  <c:v>螢幕支架</c:v>
                </c:pt>
                <c:pt idx="6">
                  <c:v>電腦包</c:v>
                </c:pt>
                <c:pt idx="7">
                  <c:v>散熱風扇</c:v>
                </c:pt>
              </c:strCache>
            </c:strRef>
          </c:cat>
          <c:val>
            <c:numRef>
              <c:f>產品庫存!$F$2:$F$9</c:f>
              <c:numCache>
                <c:formatCode>\$#,##0</c:formatCode>
                <c:ptCount val="8"/>
                <c:pt idx="0">
                  <c:v>111250</c:v>
                </c:pt>
                <c:pt idx="1">
                  <c:v>98000</c:v>
                </c:pt>
                <c:pt idx="2">
                  <c:v>42750</c:v>
                </c:pt>
                <c:pt idx="3">
                  <c:v>81600</c:v>
                </c:pt>
                <c:pt idx="4">
                  <c:v>102000</c:v>
                </c:pt>
                <c:pt idx="5">
                  <c:v>39900</c:v>
                </c:pt>
                <c:pt idx="6">
                  <c:v>132000</c:v>
                </c:pt>
                <c:pt idx="7">
                  <c:v>79800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3-4171-A8D9-FC5B99B2C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75703"/>
        <c:axId val="50247161"/>
      </c:barChart>
      <c:catAx>
        <c:axId val="54675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7161"/>
        <c:crosses val="autoZero"/>
        <c:auto val="1"/>
        <c:lblAlgn val="ctr"/>
        <c:lblOffset val="100"/>
        <c:noMultiLvlLbl val="0"/>
      </c:catAx>
      <c:valAx>
        <c:axId val="50247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庫存金額 </a:t>
                </a:r>
                <a:r>
                  <a:rPr lang="en-US" altLang="zh-TW" sz="1000" b="1" strike="noStrike" spc="-1">
                    <a:solidFill>
                      <a:srgbClr val="000000"/>
                    </a:solidFill>
                    <a:latin typeface="Calibri"/>
                  </a:rPr>
                  <a:t>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675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9</xdr:col>
      <xdr:colOff>352800</xdr:colOff>
      <xdr:row>32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pane ySplit="1" topLeftCell="A2" activePane="bottomLeft" state="frozen"/>
      <selection pane="bottomLeft" activeCell="E4" sqref="E4"/>
    </sheetView>
  </sheetViews>
  <sheetFormatPr defaultColWidth="8.7109375" defaultRowHeight="15"/>
  <cols>
    <col min="1" max="1" width="12" customWidth="1"/>
    <col min="2" max="2" width="16" customWidth="1"/>
    <col min="3" max="5" width="12" customWidth="1"/>
    <col min="6" max="6" width="14" customWidth="1"/>
    <col min="7" max="7" width="12" customWidth="1"/>
  </cols>
  <sheetData>
    <row r="1" spans="1:7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customHeight="1">
      <c r="A2" s="2" t="s">
        <v>7</v>
      </c>
      <c r="B2" s="3" t="s">
        <v>8</v>
      </c>
      <c r="C2" s="4">
        <v>890</v>
      </c>
      <c r="D2" s="5">
        <v>125</v>
      </c>
      <c r="E2" s="6" t="s">
        <v>9</v>
      </c>
      <c r="F2" s="4">
        <f t="shared" ref="F2:F9" si="0">C2*D2</f>
        <v>111250</v>
      </c>
      <c r="G2" s="7" t="str">
        <f t="shared" ref="G2:G9" si="1">IF(D2&lt;50,"警示",IF(D2&lt;100,"偏低","充足"))</f>
        <v>充足</v>
      </c>
    </row>
    <row r="3" spans="1:7" ht="19.5" customHeight="1">
      <c r="A3" s="8" t="s">
        <v>10</v>
      </c>
      <c r="B3" s="9" t="s">
        <v>11</v>
      </c>
      <c r="C3" s="10">
        <v>350</v>
      </c>
      <c r="D3" s="11">
        <v>280</v>
      </c>
      <c r="E3" s="12" t="s">
        <v>12</v>
      </c>
      <c r="F3" s="10">
        <f t="shared" si="0"/>
        <v>98000</v>
      </c>
      <c r="G3" s="13" t="str">
        <f t="shared" si="1"/>
        <v>充足</v>
      </c>
    </row>
    <row r="4" spans="1:7" ht="19.5" customHeight="1">
      <c r="A4" s="2" t="s">
        <v>13</v>
      </c>
      <c r="B4" s="14" t="s">
        <v>14</v>
      </c>
      <c r="C4" s="4">
        <v>450</v>
      </c>
      <c r="D4" s="5">
        <v>95</v>
      </c>
      <c r="E4" s="6" t="s">
        <v>9</v>
      </c>
      <c r="F4" s="4">
        <f t="shared" si="0"/>
        <v>42750</v>
      </c>
      <c r="G4" s="7" t="str">
        <f t="shared" si="1"/>
        <v>偏低</v>
      </c>
    </row>
    <row r="5" spans="1:7" ht="19.5" customHeight="1">
      <c r="A5" s="8" t="s">
        <v>15</v>
      </c>
      <c r="B5" s="9" t="s">
        <v>16</v>
      </c>
      <c r="C5" s="10">
        <v>1200</v>
      </c>
      <c r="D5" s="11">
        <v>68</v>
      </c>
      <c r="E5" s="15" t="s">
        <v>17</v>
      </c>
      <c r="F5" s="10">
        <f t="shared" si="0"/>
        <v>81600</v>
      </c>
      <c r="G5" s="13" t="str">
        <f t="shared" si="1"/>
        <v>偏低</v>
      </c>
    </row>
    <row r="6" spans="1:7" ht="19.5" customHeight="1">
      <c r="A6" s="2" t="s">
        <v>18</v>
      </c>
      <c r="B6" s="3" t="s">
        <v>19</v>
      </c>
      <c r="C6" s="4">
        <v>680</v>
      </c>
      <c r="D6" s="5">
        <v>150</v>
      </c>
      <c r="E6" s="12" t="s">
        <v>12</v>
      </c>
      <c r="F6" s="4">
        <f t="shared" si="0"/>
        <v>102000</v>
      </c>
      <c r="G6" s="7" t="str">
        <f t="shared" si="1"/>
        <v>充足</v>
      </c>
    </row>
    <row r="7" spans="1:7" ht="19.5" customHeight="1">
      <c r="A7" s="8" t="s">
        <v>20</v>
      </c>
      <c r="B7" s="9" t="s">
        <v>21</v>
      </c>
      <c r="C7" s="10">
        <v>950</v>
      </c>
      <c r="D7" s="11">
        <v>42</v>
      </c>
      <c r="E7" s="16" t="s">
        <v>22</v>
      </c>
      <c r="F7" s="10">
        <f t="shared" si="0"/>
        <v>39900</v>
      </c>
      <c r="G7" s="13" t="str">
        <f t="shared" si="1"/>
        <v>警示</v>
      </c>
    </row>
    <row r="8" spans="1:7" ht="19.5" customHeight="1">
      <c r="A8" s="2" t="s">
        <v>23</v>
      </c>
      <c r="B8" s="3" t="s">
        <v>24</v>
      </c>
      <c r="C8" s="4">
        <v>1500</v>
      </c>
      <c r="D8" s="5">
        <v>88</v>
      </c>
      <c r="E8" s="6" t="s">
        <v>9</v>
      </c>
      <c r="F8" s="4">
        <f t="shared" si="0"/>
        <v>132000</v>
      </c>
      <c r="G8" s="7" t="str">
        <f t="shared" si="1"/>
        <v>偏低</v>
      </c>
    </row>
    <row r="9" spans="1:7" ht="19.5" customHeight="1">
      <c r="A9" s="8" t="s">
        <v>25</v>
      </c>
      <c r="B9" s="9" t="s">
        <v>26</v>
      </c>
      <c r="C9" s="10">
        <v>380</v>
      </c>
      <c r="D9" s="11">
        <v>210</v>
      </c>
      <c r="E9" s="15" t="s">
        <v>17</v>
      </c>
      <c r="F9" s="10">
        <f t="shared" si="0"/>
        <v>79800</v>
      </c>
      <c r="G9" s="13" t="str">
        <f t="shared" si="1"/>
        <v>充足</v>
      </c>
    </row>
    <row r="10" spans="1:7">
      <c r="A10" s="17" t="s">
        <v>27</v>
      </c>
      <c r="B10" s="18"/>
      <c r="C10" s="18"/>
      <c r="D10" s="19">
        <f>SUM(D2:D9)</f>
        <v>1058</v>
      </c>
      <c r="E10" s="18"/>
      <c r="F10" s="20">
        <f>SUM(F2:F9)</f>
        <v>687300</v>
      </c>
      <c r="G10" s="21" t="str">
        <f>COUNTIF(G2:G9,"警示")&amp;"警示 "&amp;COUNTIF(G2:G9,"偏低")&amp;"偏低 "&amp;COUNTIF(G2:G9,"充足")&amp;"充足"</f>
        <v>1警示 3偏低 4充足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產品庫存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1</cp:revision>
  <dcterms:created xsi:type="dcterms:W3CDTF">2026-04-12T02:25:14Z</dcterms:created>
  <dcterms:modified xsi:type="dcterms:W3CDTF">2026-04-12T08:14:03Z</dcterms:modified>
  <dc:language>en-US</dc:language>
</cp:coreProperties>
</file>